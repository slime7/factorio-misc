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ivate\factorio-excel\"/>
    </mc:Choice>
  </mc:AlternateContent>
  <xr:revisionPtr revIDLastSave="0" documentId="13_ncr:1_{FDB21DBE-A19A-4D49-860C-83F0FC7FA9F5}" xr6:coauthVersionLast="47" xr6:coauthVersionMax="47" xr10:uidLastSave="{00000000-0000-0000-0000-000000000000}"/>
  <bookViews>
    <workbookView xWindow="-120" yWindow="-120" windowWidth="29040" windowHeight="15840" xr2:uid="{23EC42C0-0629-4CD1-9F71-5406BEEC6C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G4" i="1" s="1"/>
  <c r="H4" i="1" s="1"/>
</calcChain>
</file>

<file path=xl/sharedStrings.xml><?xml version="1.0" encoding="utf-8"?>
<sst xmlns="http://schemas.openxmlformats.org/spreadsheetml/2006/main" count="10" uniqueCount="6">
  <si>
    <t>速度</t>
    <phoneticPr fontId="1" type="noConversion"/>
  </si>
  <si>
    <t>燃料产能</t>
    <phoneticPr fontId="1" type="noConversion"/>
  </si>
  <si>
    <t>燃料消耗</t>
    <phoneticPr fontId="1" type="noConversion"/>
  </si>
  <si>
    <t>缺口</t>
    <phoneticPr fontId="1" type="noConversion"/>
  </si>
  <si>
    <t>距离</t>
    <phoneticPr fontId="1" type="noConversion"/>
  </si>
  <si>
    <t>补齐缺口时间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</si>
</sst>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C793-4951-464E-B769-C983F7B9D184}">
  <dimension ref="C3:N7"/>
  <sheetViews>
    <sheetView tabSelected="1" workbookViewId="0">
      <selection activeCell="F4" sqref="F4"/>
    </sheetView>
  </sheetViews>
  <sheetFormatPr defaultRowHeight="14.25" x14ac:dyDescent="0.2"/>
  <cols>
    <col min="6" max="6" width="10.5" customWidth="1"/>
    <col min="7" max="7" width="11.875" customWidth="1"/>
  </cols>
  <sheetData>
    <row r="3" spans="3:14" x14ac:dyDescent="0.2">
      <c r="C3" t="s">
        <v>4</v>
      </c>
      <c r="D3" t="s">
        <v>0</v>
      </c>
      <c r="E3" t="s">
        <v>1</v>
      </c>
      <c r="F3" t="s">
        <v>2</v>
      </c>
      <c r="G3" t="s">
        <v>3</v>
      </c>
      <c r="H3" t="s">
        <v>5</v>
      </c>
      <c r="K3" t="s">
        <v>4</v>
      </c>
      <c r="L3" t="s">
        <v>0</v>
      </c>
      <c r="M3" t="s">
        <v>1</v>
      </c>
      <c r="N3" t="s">
        <v>2</v>
      </c>
    </row>
    <row r="4" spans="3:14" x14ac:dyDescent="0.2">
      <c r="C4">
        <v>15000</v>
      </c>
      <c r="D4">
        <f>_xlfn.XLOOKUP(F4,N4:N6,L4:L6)</f>
        <v>210</v>
      </c>
      <c r="E4">
        <v>150</v>
      </c>
      <c r="F4">
        <v>360</v>
      </c>
      <c r="G4">
        <f>IFERROR(ROUND((C4/D4)*(F4-E4),2),"-")</f>
        <v>15000</v>
      </c>
      <c r="H4">
        <f>IFERROR(ROUND(G4/E4,2),"-")</f>
        <v>100</v>
      </c>
      <c r="K4">
        <v>15000</v>
      </c>
      <c r="L4">
        <v>110</v>
      </c>
      <c r="M4">
        <v>37</v>
      </c>
      <c r="N4">
        <v>120</v>
      </c>
    </row>
    <row r="5" spans="3:14" x14ac:dyDescent="0.2">
      <c r="K5">
        <v>30000</v>
      </c>
      <c r="L5">
        <v>210</v>
      </c>
      <c r="M5">
        <v>60</v>
      </c>
      <c r="N5">
        <v>360</v>
      </c>
    </row>
    <row r="6" spans="3:14" x14ac:dyDescent="0.2">
      <c r="L6">
        <v>300</v>
      </c>
      <c r="M6">
        <v>150</v>
      </c>
      <c r="N6">
        <v>600</v>
      </c>
    </row>
    <row r="7" spans="3:14" x14ac:dyDescent="0.2">
      <c r="M7">
        <v>240</v>
      </c>
    </row>
  </sheetData>
  <phoneticPr fontId="1" type="noConversion"/>
  <dataValidations count="3">
    <dataValidation type="list" allowBlank="1" showInputMessage="1" showErrorMessage="1" sqref="C4" xr:uid="{3F163BEA-9058-4A74-A755-A91983C539E9}">
      <formula1>$K$4:$K$5</formula1>
    </dataValidation>
    <dataValidation type="list" allowBlank="1" showInputMessage="1" showErrorMessage="1" sqref="E4" xr:uid="{BA368606-E498-4685-88EB-96B88049902B}">
      <formula1>$M$4:$M$7</formula1>
    </dataValidation>
    <dataValidation type="list" allowBlank="1" showInputMessage="1" showErrorMessage="1" sqref="F4" xr:uid="{090AF88E-AFC4-448C-AFA2-D62C9DEEB35F}">
      <formula1>$N$4:$N$6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E528CA-49EA-46D4-BF81-1C98B644D1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2026-04-02T02:21:59Z</dcterms:created>
  <dcterms:modified xsi:type="dcterms:W3CDTF">2026-04-02T03:20:48Z</dcterms:modified>
</cp:coreProperties>
</file>